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tats" sheetId="2" state="visible" r:id="rId4"/>
    <sheet name="Roles" sheetId="3" state="visible" r:id="rId5"/>
    <sheet name="Buffs" sheetId="4" state="visible" r:id="rId6"/>
    <sheet name="Debuffs &amp; Hazards" sheetId="5" state="visible" r:id="rId7"/>
    <sheet name="Mitigation &amp; Pen" sheetId="6" state="visible" r:id="rId8"/>
    <sheet name="Inspirations" sheetId="7" state="visible" r:id="rId9"/>
    <sheet name="Incoming &amp; Keep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<sst xmlns="http://schemas.openxmlformats.org/spreadsheetml/2006/main" count="267" uniqueCount="215">
  <si>
    <t xml:space="preserve">HearthCraft — Combat Mechanics &amp; Design Reference</t>
  </si>
  <si>
    <t xml:space="preserve">The single source of truth for combat NUMBERS. Blue/yellow cells are tunable inputs. Values match the simulator. Food RECIPES live in the Tier Planner; design RATIONALE lives in combat-model.md — both use the vocabulary defined here.</t>
  </si>
  <si>
    <t xml:space="preserve">Contents</t>
  </si>
  <si>
    <t xml:space="preserve">Stats</t>
  </si>
  <si>
    <t xml:space="preserve">The five character stats and what each does in a fight</t>
  </si>
  <si>
    <t xml:space="preserve">Roles</t>
  </si>
  <si>
    <t xml:space="preserve">The four role templates (+ reserved 5th): starting spreads &amp; growth</t>
  </si>
  <si>
    <t xml:space="preserve">Buffs</t>
  </si>
  <si>
    <t xml:space="preserve">How food buffs the five stats (focus + tiered breadth); armor-pen = Agility</t>
  </si>
  <si>
    <t xml:space="preserve">Debuffs &amp; Hazards</t>
  </si>
  <si>
    <t xml:space="preserve">Dread, Shadow, and the six hazard/answer pairs — unified severity model + math</t>
  </si>
  <si>
    <t xml:space="preserve">Mitigation &amp; Penetration</t>
  </si>
  <si>
    <t xml:space="preserve">Physical mitigation and the party-summed stat-weighted penetration model</t>
  </si>
  <si>
    <t xml:space="preserve">Inspirations</t>
  </si>
  <si>
    <t xml:space="preserve">The four brink-grace events: triggers and effects</t>
  </si>
  <si>
    <t xml:space="preserve">Mettle = display-only cosmetic power rating. NOT a combat input — no curves, not modeled here.</t>
  </si>
  <si>
    <t xml:space="preserve">The five character stats and their fight roles.</t>
  </si>
  <si>
    <t xml:space="preserve">Stat</t>
  </si>
  <si>
    <t xml:space="preserve">Axis</t>
  </si>
  <si>
    <t xml:space="preserve">In a fight</t>
  </si>
  <si>
    <t xml:space="preserve">Also governs</t>
  </si>
  <si>
    <t xml:space="preserve">Might</t>
  </si>
  <si>
    <t xml:space="preserve">Win (+survive)</t>
  </si>
  <si>
    <t xml:space="preserve">Melee damage; some physical durability</t>
  </si>
  <si>
    <t xml:space="preserve">block/parry, physical toughness</t>
  </si>
  <si>
    <t xml:space="preserve">Agility</t>
  </si>
  <si>
    <t xml:space="preserve">Win</t>
  </si>
  <si>
    <t xml:space="preserve">Ranged/strike damage AND armor penetration (finds the gap)</t>
  </si>
  <si>
    <t xml:space="preserve">evasion, accuracy, crit-to-hit</t>
  </si>
  <si>
    <t xml:space="preserve">Vitality</t>
  </si>
  <si>
    <t xml:space="preserve">Survive</t>
  </si>
  <si>
    <t xml:space="preserve">Morale pool size + food HP/s absorption (the sustain backbone)</t>
  </si>
  <si>
    <t xml:space="preserve">resist Wounds/Fear/Poison/Shadow</t>
  </si>
  <si>
    <t xml:space="preserve">Will</t>
  </si>
  <si>
    <t xml:space="preserve">Win + defense</t>
  </si>
  <si>
    <t xml:space="preserve">Keeper magic dmg + heal potency; Captain Dread resistance</t>
  </si>
  <si>
    <t xml:space="preserve">the magic stat; spiritual strength</t>
  </si>
  <si>
    <t xml:space="preserve">Fate</t>
  </si>
  <si>
    <t xml:space="preserve">Wildcard</t>
  </si>
  <si>
    <t xml:space="preserve">Crits, momentum, and Inspiration odds</t>
  </si>
  <si>
    <t xml:space="preserve">providence / the eucatastrophe</t>
  </si>
  <si>
    <t xml:space="preserve">Role Templates</t>
  </si>
  <si>
    <t xml:space="preserve">Each role = a fixed starting spread (1–20 band, scales up, no cap) + signature-weighted auto-growth per level. Realization within role. Blue = tunable. A 5th melee-DPS role is reserved (Might-primary striker; pen via Might).</t>
  </si>
  <si>
    <t xml:space="preserve">Starting stats (level 1)</t>
  </si>
  <si>
    <t xml:space="preserve">Role</t>
  </si>
  <si>
    <t xml:space="preserve">Mig</t>
  </si>
  <si>
    <t xml:space="preserve">Agi</t>
  </si>
  <si>
    <t xml:space="preserve">Vit</t>
  </si>
  <si>
    <t xml:space="preserve">Wil</t>
  </si>
  <si>
    <t xml:space="preserve">Fat</t>
  </si>
  <si>
    <t xml:space="preserve">Signature</t>
  </si>
  <si>
    <t xml:space="preserve">Soak?</t>
  </si>
  <si>
    <t xml:space="preserve">Pen stat</t>
  </si>
  <si>
    <t xml:space="preserve">Pen coef</t>
  </si>
  <si>
    <t xml:space="preserve">Fight role</t>
  </si>
  <si>
    <t xml:space="preserve">Warden</t>
  </si>
  <si>
    <t xml:space="preserve">Mig + Vit</t>
  </si>
  <si>
    <t xml:space="preserve">yes</t>
  </si>
  <si>
    <t xml:space="preserve">Survive — soaks/redirects</t>
  </si>
  <si>
    <t xml:space="preserve">Hunter (Agi)</t>
  </si>
  <si>
    <t xml:space="preserve">no</t>
  </si>
  <si>
    <t xml:space="preserve">Win — fragile striker, armor-pen</t>
  </si>
  <si>
    <t xml:space="preserve">Hunter (Mig)</t>
  </si>
  <si>
    <t xml:space="preserve">Win — bruiser flavor</t>
  </si>
  <si>
    <t xml:space="preserve">Keeper</t>
  </si>
  <si>
    <t xml:space="preserve">Wil + Fat</t>
  </si>
  <si>
    <t xml:space="preserve">Both — linchpin, heals+magic</t>
  </si>
  <si>
    <t xml:space="preserve">Captain</t>
  </si>
  <si>
    <t xml:space="preserve">Vit+Wil+Fat</t>
  </si>
  <si>
    <t xml:space="preserve">Survive — durable empowerer</t>
  </si>
  <si>
    <t xml:space="preserve">(5th: Melee DPS)</t>
  </si>
  <si>
    <t xml:space="preserve">—</t>
  </si>
  <si>
    <t xml:space="preserve">Mig (reserved)</t>
  </si>
  <si>
    <t xml:space="preserve">?</t>
  </si>
  <si>
    <t xml:space="preserve">~0.8</t>
  </si>
  <si>
    <t xml:space="preserve">Win — Might bruiser/penetrator</t>
  </si>
  <si>
    <t xml:space="preserve">Per-level growth (added each level; weighted to signature stats)</t>
  </si>
  <si>
    <t xml:space="preserve">Morale pool = 30 + Vitality × 16 (tunable). Stat at level L = start + growth×(L−1).</t>
  </si>
  <si>
    <t xml:space="preserve">Buffs — How Food Boosts Stats</t>
  </si>
  <si>
    <t xml:space="preserve">Food buffs the FIVE STATS directly (no abstract buff vocabulary). Every recipe has a 1–2 stat FOCUS that holds at all tiers; higher tiers add BREADTH (minor boosts to other stats) under the focus. Recipes live in the Tier Planner; this defines the RULES they follow.</t>
  </si>
  <si>
    <t xml:space="preserve">Tier band</t>
  </si>
  <si>
    <t xml:space="preserve">Stats boosted</t>
  </si>
  <si>
    <t xml:space="preserve">Focus magnitude</t>
  </si>
  <si>
    <t xml:space="preserve">Breadth (minor stats)</t>
  </si>
  <si>
    <t xml:space="preserve">Note</t>
  </si>
  <si>
    <t xml:space="preserve">Low (1–2)</t>
  </si>
  <si>
    <t xml:space="preserve">1–2 (focus only)</t>
  </si>
  <si>
    <t xml:space="preserve">high</t>
  </si>
  <si>
    <t xml:space="preserve">0</t>
  </si>
  <si>
    <t xml:space="preserve">targeted single-stat food</t>
  </si>
  <si>
    <t xml:space="preserve">Mid (3–4)</t>
  </si>
  <si>
    <t xml:space="preserve">3–4</t>
  </si>
  <si>
    <t xml:space="preserve">high (unchanged)</t>
  </si>
  <si>
    <t xml:space="preserve">+2 others (minor)</t>
  </si>
  <si>
    <t xml:space="preserve">focus + a couple</t>
  </si>
  <si>
    <t xml:space="preserve">High (5–7)</t>
  </si>
  <si>
    <t xml:space="preserve">all 5</t>
  </si>
  <si>
    <t xml:space="preserve">high (still dominant)</t>
  </si>
  <si>
    <t xml:space="preserve">+3 others (minor)</t>
  </si>
  <si>
    <t xml:space="preserve">focus + a little of everything; focus stays dominant</t>
  </si>
  <si>
    <t xml:space="preserve">Two dials: FOCUS magnitude (stays high at all tiers — the dish identity) and BREADTH (scales with tier). A focused low-tier dish can push one stat higher than a spread high-tier dish does for that stat — focused food stays relevant for min-maxing. Armor penetration = Agility (the old "Acuity" buff is retired).</t>
  </si>
  <si>
    <t xml:space="preserve">Debuffs &amp; Hazards — Unified Severity Model</t>
  </si>
  <si>
    <t xml:space="preserve">ONE consistent scale: severity 1–10 for every status &amp; antidote. Tune the per-point scales; the resolved effect follows. (Absorbs the former Debuff Model.) Edit blue cells.</t>
  </si>
  <si>
    <t xml:space="preserve">Per-point scales (tune — what ONE severity point does)</t>
  </si>
  <si>
    <t xml:space="preserve">key</t>
  </si>
  <si>
    <t xml:space="preserve">sets</t>
  </si>
  <si>
    <t xml:space="preserve">value</t>
  </si>
  <si>
    <t xml:space="preserve">meaning</t>
  </si>
  <si>
    <t xml:space="preserve">dread_per_pt</t>
  </si>
  <si>
    <t xml:space="preserve">Dread: % DPS suppressed per point</t>
  </si>
  <si>
    <t xml:space="preserve">sev 10 = 60% suppression</t>
  </si>
  <si>
    <t xml:space="preserve">shadow_per_pt</t>
  </si>
  <si>
    <t xml:space="preserve">Shadow: % of spirit drained (by end) per point</t>
  </si>
  <si>
    <t xml:space="preserve">sev 10 = 60% of Will/Fate</t>
  </si>
  <si>
    <t xml:space="preserve">hazard_per_pt</t>
  </si>
  <si>
    <t xml:space="preserve">Hazard: Morale drain/sec per point</t>
  </si>
  <si>
    <t xml:space="preserve">sev 10 = 30 Morale/s</t>
  </si>
  <si>
    <t xml:space="preserve">antidote_per_pt</t>
  </si>
  <si>
    <t xml:space="preserve">Antidote: % of its status neutralized per point</t>
  </si>
  <si>
    <t xml:space="preserve">sev 10 = 90% neutralized</t>
  </si>
  <si>
    <t xml:space="preserve">Statuses — set severity, see resolved effect</t>
  </si>
  <si>
    <t xml:space="preserve">Status</t>
  </si>
  <si>
    <t xml:space="preserve">Severity 1–10</t>
  </si>
  <si>
    <t xml:space="preserve">Resolved (pre-antidote)</t>
  </si>
  <si>
    <t xml:space="preserve">Antidote</t>
  </si>
  <si>
    <t xml:space="preserve">Antidote sev</t>
  </si>
  <si>
    <t xml:space="preserve">Net after antidote</t>
  </si>
  <si>
    <t xml:space="preserve">Counter type</t>
  </si>
  <si>
    <t xml:space="preserve">Carried by</t>
  </si>
  <si>
    <t xml:space="preserve">Dread</t>
  </si>
  <si>
    <t xml:space="preserve">Hope + Will</t>
  </si>
  <si>
    <t xml:space="preserve">stat+food</t>
  </si>
  <si>
    <t xml:space="preserve">Nazgûl, Paths of the Dead</t>
  </si>
  <si>
    <t xml:space="preserve">Shadow</t>
  </si>
  <si>
    <t xml:space="preserve">Radiance</t>
  </si>
  <si>
    <t xml:space="preserve">food</t>
  </si>
  <si>
    <t xml:space="preserve">Great spiders, Ringwraiths, Balrog</t>
  </si>
  <si>
    <t xml:space="preserve">Disease</t>
  </si>
  <si>
    <t xml:space="preserve">Hale</t>
  </si>
  <si>
    <t xml:space="preserve">Barrow-downs, Dead Marshes</t>
  </si>
  <si>
    <t xml:space="preserve">Cold</t>
  </si>
  <si>
    <t xml:space="preserve">Warmth</t>
  </si>
  <si>
    <t xml:space="preserve">Caradhras, high passes</t>
  </si>
  <si>
    <t xml:space="preserve">Heat</t>
  </si>
  <si>
    <t xml:space="preserve">Heat-ease</t>
  </si>
  <si>
    <t xml:space="preserve">Mordor, Gorgoroth</t>
  </si>
  <si>
    <t xml:space="preserve">Wakefulness</t>
  </si>
  <si>
    <t xml:space="preserve">Alert</t>
  </si>
  <si>
    <t xml:space="preserve">Mirkwood</t>
  </si>
  <si>
    <t xml:space="preserve">Dread = suppresses DAMAGE OUTPUT (countered by Will stat + Hope food, stacking). Shadow = drains WILL+FATE over the fight toward a FLOOR (Ungoliant's unlight). Model C: Radiance RAISES the floor — partial Radiance meaningfully limits how deep the spirit sinks, full Radiance nearly stops it; harsher Shadow lowers the deep-floor. So bringing some Radiance always helps (not all-or-nothing). Shadow draining Will weakens heals + Dread-resistance + Inspiration odds — so Shadow makes Dread WORSE; they compound. The four hazards are pure Morale-pressure with food-only answers.</t>
  </si>
  <si>
    <t xml:space="preserve">Physical mitigation (armor) is countered by the PARTY's computed penetration — each member contributes via their pen-stat × coefficient; contributions sum. Edit blue cells. effectiveMit = physMit × (1 − min(1, partyPen / PEN_SCALE)).</t>
  </si>
  <si>
    <t xml:space="preserve">PEN_SCALE (higher = armor harder to fully strip)</t>
  </si>
  <si>
    <t xml:space="preserve">Coefficient</t>
  </si>
  <si>
    <t xml:space="preserve">Example stat @L25</t>
  </si>
  <si>
    <t xml:space="preserve">Contribution (= stat×coef)</t>
  </si>
  <si>
    <t xml:space="preserve">minor</t>
  </si>
  <si>
    <t xml:space="preserve">DOMINANT</t>
  </si>
  <si>
    <t xml:space="preserve">(5th: Melee)</t>
  </si>
  <si>
    <t xml:space="preserve">reserved</t>
  </si>
  <si>
    <t xml:space="preserve">Might penetrator (future)</t>
  </si>
  <si>
    <t xml:space="preserve">Party penetration (sum, ex. 5th)</t>
  </si>
  <si>
    <t xml:space="preserve">vs 60% armor → effective armor</t>
  </si>
  <si>
    <t xml:space="preserve">So armor-pen is emergent from party composition + stats (and food that boosts Agi/Mig), NOT a buff you apply. The Hunter dominates; the reserved 5th melee role is the Might-penetrator. Dread &amp; Shadow are separate debuffs (see Debuffs &amp; Hazards).</t>
  </si>
  <si>
    <t xml:space="preserve">The Four Inspirations</t>
  </si>
  <si>
    <t xml:space="preserve">Rare brink-grace, off Will+Fate, never reliable, OUT of the balance equation. Each fires off its role's characteristic failure.</t>
  </si>
  <si>
    <t xml:space="preserve">Name</t>
  </si>
  <si>
    <t xml:space="preserve">Trigger</t>
  </si>
  <si>
    <t xml:space="preserve">Effect</t>
  </si>
  <si>
    <t xml:space="preserve">Flavor</t>
  </si>
  <si>
    <t xml:space="preserve">Laurelin's Grace</t>
  </si>
  <si>
    <t xml:space="preserve">a member hits the grievous brink (5th wound)</t>
  </si>
  <si>
    <t xml:space="preserve">revive to ZERO wounds, whole</t>
  </si>
  <si>
    <t xml:space="preserve">"[Name] calls upon Laurelin's Grace, and the shadow loosens its hold."</t>
  </si>
  <si>
    <t xml:space="preserve">The Horn of Gondor</t>
  </si>
  <si>
    <t xml:space="preserve">2+ members in trouble at once</t>
  </si>
  <si>
    <t xml:space="preserve">Warden pulls ALL aggro, cannot fall for a window; comes out battered</t>
  </si>
  <si>
    <t xml:space="preserve">"[Name] blows the Horn of Gondor and refuses to fall."</t>
  </si>
  <si>
    <t xml:space="preserve">Hunter</t>
  </si>
  <si>
    <t xml:space="preserve">Black Arrow</t>
  </si>
  <si>
    <t xml:space="preserve">rising capped chance as a fight trends to a time-loss</t>
  </si>
  <si>
    <t xml:space="preserve">killable: massive mitigation-bypassing strike. un-killable: flaming arrow burns time off the clock</t>
  </si>
  <si>
    <t xml:space="preserve">"[Name] draws the Black Arrow — go now, and speed well!"</t>
  </si>
  <si>
    <t xml:space="preserve">Wrath, Ruin, and the Red Dawn</t>
  </si>
  <si>
    <t xml:space="preserve">brink of party collapse</t>
  </si>
  <si>
    <t xml:space="preserve">temporary epic party-wide surge across ALL axes (both); the Black Gate rally</t>
  </si>
  <si>
    <t xml:space="preserve">"[Name] cries: 'Now for wrath, now for ruin, and the red dawn!'"</t>
  </si>
  <si>
    <t xml:space="preserve">Black Arrow flavor is verbatim Tolkien (The Hobbit) — IP-flag for the public GPL build; consider an original line before ship.</t>
  </si>
  <si>
    <t xml:space="preserve">Incoming Damage &amp; the Keeper</t>
  </si>
  <si>
    <t xml:space="preserve">Two incoming layers with distinct jobs, plus the Keeper rescue cap. Edit blue cells.</t>
  </si>
  <si>
    <t xml:space="preserve">Mechanism</t>
  </si>
  <si>
    <t xml:space="preserve">How it works</t>
  </si>
  <si>
    <t xml:space="preserve">STEADY DRAIN</t>
  </si>
  <si>
    <t xml:space="preserve">The solvable layer</t>
  </si>
  <si>
    <t xml:space="preserve">Constant damage/sec, spread across the party. Surmounted by Vitality + food HP/s. Deterministic — provision against it and it is fully handled. This is where "agency is in preparation" lives.</t>
  </si>
  <si>
    <t xml:space="preserve">SPIKES (crits)</t>
  </si>
  <si>
    <t xml:space="preserve">The RNG texture layer</t>
  </si>
  <si>
    <t xml:space="preserve">Infrequent, high-potency bursts that hit ONE member chosen PURELY AT RANDOM among the active band. This is what makes them dangerous: because combat is semi-autonomous (no mid-fight reaction), random targeting exposes your FRAGILE members (Hunter, Keeper) to the dice — a spike on the Warden is shrugged off, a spike on the Hunter is a crisis. Defense = provision your squishy members well enough to survive an unlucky hit, or have a Keeper rescue charge left to catch them. Single spikes are survivable; CLUSTERED bad luck (two hits on one fragile member, or two members down at once) is the real danger — and makes stories. EXCEPTION: the Horn of Gondor forces all spikes onto the Warden for its window (active heroic intervention, not passive aggro).</t>
  </si>
  <si>
    <t xml:space="preserve">RATIO = the dial</t>
  </si>
  <si>
    <t xml:space="preserve">Per-encounter feel</t>
  </si>
  <si>
    <t xml:space="preserve">Mostly-drain, tiny-spike = calm provisioning check. Modest-drain, vicious-spike = white-knuckle survive-the-rolls. Same model, different fights.</t>
  </si>
  <si>
    <t xml:space="preserve">KEEPER ZERO-RESCUE</t>
  </si>
  <si>
    <t xml:space="preserve">Capped resource</t>
  </si>
  <si>
    <t xml:space="preserve">When a member hits zero the Keeper bursts them clear — but only 5 times per fight (RESCUE_CAP). Once spent, zeros take the wound uncaught. Creates a fight ARC (rescue-rich early -&gt; fragile late) and pushes the player to solve drain with PROVISIONING, not lean on the Keeper as an infinite patch.</t>
  </si>
  <si>
    <t xml:space="preserve">LAURELIN'S GRACE</t>
  </si>
  <si>
    <t xml:space="preserve">Separate, uncapped</t>
  </si>
  <si>
    <t xml:space="preserve">The Keeper's Inspiration (revive from the grievous brink) is NOT one of the 5 rescues. It is rare brink-grace by its own Will+Fate roll. Two distinct mechanics — do not conflate.</t>
  </si>
  <si>
    <t xml:space="preserve">Tunables (match the simulator)</t>
  </si>
  <si>
    <t xml:space="preserve">RESCUE_CAP</t>
  </si>
  <si>
    <t xml:space="preserve">Keeper zero-rescues per fight</t>
  </si>
  <si>
    <t xml:space="preserve">Spike targeting</t>
  </si>
  <si>
    <t xml:space="preserve">Uniformly random among active members</t>
  </si>
  <si>
    <t xml:space="preserve">pure random</t>
  </si>
  <si>
    <t xml:space="preserve">(Horn of Gondor override)</t>
  </si>
  <si>
    <t xml:space="preserve">Warden pulls ALL spikes during the Inspiration window</t>
  </si>
  <si>
    <t xml:space="preserve">active only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</si>
</sst>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4A2F1A"/>
      <name val="Arial"/>
      <family val="0"/>
      <charset val="1"/>
    </font>
    <font>
      <i val="true"/>
      <sz val="9"/>
      <color rgb="FF6A563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74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2F1A"/>
        <bgColor rgb="FF333300"/>
      </patternFill>
    </fill>
    <fill>
      <patternFill patternType="solid">
        <fgColor rgb="FFB5602E"/>
        <bgColor rgb="FF7A6748"/>
      </patternFill>
    </fill>
    <fill>
      <patternFill patternType="solid">
        <fgColor rgb="FFFFF3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A47C"/>
      </left>
      <right style="thin">
        <color rgb="FFB9A47C"/>
      </right>
      <top style="thin">
        <color rgb="FFB9A47C"/>
      </top>
      <bottom style="thin">
        <color rgb="FFB9A47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748"/>
      <rgbColor rgb="FF9999FF"/>
      <rgbColor rgb="FF993366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5638"/>
      <rgbColor rgb="FFB9A47C"/>
      <rgbColor rgb="FF003366"/>
      <rgbColor rgb="FF339966"/>
      <rgbColor rgb="FF003300"/>
      <rgbColor rgb="FF333300"/>
      <rgbColor rgb="FFB5602E"/>
      <rgbColor rgb="FF993366"/>
      <rgbColor rgb="FF333399"/>
      <rgbColor rgb="FF4A2F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0"/>
    <col collapsed="false" customWidth="true" hidden="false" outlineLevel="0" max="7" min="3" style="1" width="1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  <c r="B5" s="5" t="s">
        <v>4</v>
      </c>
    </row>
    <row r="6" customFormat="false" ht="15" hidden="false" customHeight="true" outlineLevel="0" collapsed="false">
      <c r="A6" s="4" t="s">
        <v>5</v>
      </c>
      <c r="B6" s="5" t="s">
        <v>6</v>
      </c>
    </row>
    <row r="7" customFormat="false" ht="15" hidden="false" customHeight="true" outlineLevel="0" collapsed="false">
      <c r="A7" s="4" t="s">
        <v>7</v>
      </c>
      <c r="B7" s="5" t="s">
        <v>8</v>
      </c>
    </row>
    <row r="8" customFormat="false" ht="15" hidden="false" customHeight="true" outlineLevel="0" collapsed="false">
      <c r="A8" s="4" t="s">
        <v>9</v>
      </c>
      <c r="B8" s="5" t="s">
        <v>10</v>
      </c>
    </row>
    <row r="9" customFormat="false" ht="15" hidden="false" customHeight="true" outlineLevel="0" collapsed="false">
      <c r="A9" s="4" t="s">
        <v>11</v>
      </c>
      <c r="B9" s="5" t="s">
        <v>12</v>
      </c>
    </row>
    <row r="10" customFormat="false" ht="15" hidden="false" customHeight="true" outlineLevel="0" collapsed="false">
      <c r="A10" s="4" t="s">
        <v>13</v>
      </c>
      <c r="B10" s="5" t="s">
        <v>14</v>
      </c>
    </row>
    <row r="12" customFormat="false" ht="15" hidden="false" customHeight="true" outlineLevel="0" collapsed="false">
      <c r="A12" s="6" t="s">
        <v>15</v>
      </c>
      <c r="B12" s="6"/>
      <c r="C12" s="6"/>
      <c r="D12" s="6"/>
      <c r="E12" s="6"/>
      <c r="F12" s="6"/>
      <c r="G12" s="6"/>
    </row>
  </sheetData>
  <mergeCells count="2">
    <mergeCell ref="A2:G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46"/>
    <col collapsed="false" customWidth="true" hidden="false" outlineLevel="0" max="4" min="4" style="1" width="34"/>
  </cols>
  <sheetData>
    <row r="1" customFormat="false" ht="18" hidden="false" customHeight="true" outlineLevel="0" collapsed="false">
      <c r="A1" s="2" t="s">
        <v>3</v>
      </c>
    </row>
    <row r="2" customFormat="false" ht="15" hidden="false" customHeight="true" outlineLevel="0" collapsed="false">
      <c r="A2" s="3" t="s">
        <v>16</v>
      </c>
      <c r="B2" s="3"/>
      <c r="C2" s="3"/>
      <c r="D2" s="3"/>
      <c r="E2" s="3"/>
    </row>
    <row r="4" customFormat="false" ht="15" hidden="false" customHeight="true" outlineLevel="0" collapsed="false">
      <c r="A4" s="7" t="s">
        <v>17</v>
      </c>
      <c r="B4" s="7" t="s">
        <v>18</v>
      </c>
      <c r="C4" s="7" t="s">
        <v>19</v>
      </c>
      <c r="D4" s="7" t="s">
        <v>20</v>
      </c>
    </row>
    <row r="5" customFormat="false" ht="15" hidden="false" customHeight="true" outlineLevel="0" collapsed="false">
      <c r="A5" s="8" t="s">
        <v>21</v>
      </c>
      <c r="B5" s="9" t="s">
        <v>22</v>
      </c>
      <c r="C5" s="9" t="s">
        <v>23</v>
      </c>
      <c r="D5" s="9" t="s">
        <v>24</v>
      </c>
    </row>
    <row r="6" customFormat="false" ht="23.25" hidden="false" customHeight="true" outlineLevel="0" collapsed="false">
      <c r="A6" s="8" t="s">
        <v>25</v>
      </c>
      <c r="B6" s="9" t="s">
        <v>26</v>
      </c>
      <c r="C6" s="9" t="s">
        <v>27</v>
      </c>
      <c r="D6" s="9" t="s">
        <v>28</v>
      </c>
    </row>
    <row r="7" customFormat="false" ht="23.25" hidden="false" customHeight="true" outlineLevel="0" collapsed="false">
      <c r="A7" s="8" t="s">
        <v>29</v>
      </c>
      <c r="B7" s="9" t="s">
        <v>30</v>
      </c>
      <c r="C7" s="9" t="s">
        <v>31</v>
      </c>
      <c r="D7" s="9" t="s">
        <v>32</v>
      </c>
    </row>
    <row r="8" customFormat="false" ht="23.25" hidden="false" customHeight="true" outlineLevel="0" collapsed="false">
      <c r="A8" s="8" t="s">
        <v>33</v>
      </c>
      <c r="B8" s="9" t="s">
        <v>34</v>
      </c>
      <c r="C8" s="9" t="s">
        <v>35</v>
      </c>
      <c r="D8" s="9" t="s">
        <v>36</v>
      </c>
    </row>
    <row r="9" customFormat="false" ht="15" hidden="false" customHeight="true" outlineLevel="0" collapsed="false">
      <c r="A9" s="8" t="s">
        <v>37</v>
      </c>
      <c r="B9" s="9" t="s">
        <v>38</v>
      </c>
      <c r="C9" s="9" t="s">
        <v>39</v>
      </c>
      <c r="D9" s="9" t="s">
        <v>40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6" min="2" style="1" width="7"/>
    <col collapsed="false" customWidth="true" hidden="false" outlineLevel="0" max="7" min="7" style="1" width="14"/>
    <col collapsed="false" customWidth="true" hidden="false" outlineLevel="0" max="8" min="8" style="1" width="8"/>
    <col collapsed="false" customWidth="true" hidden="false" outlineLevel="0" max="10" min="9" style="1" width="9"/>
    <col collapsed="false" customWidth="true" hidden="false" outlineLevel="0" max="11" min="11" style="1" width="30"/>
  </cols>
  <sheetData>
    <row r="1" customFormat="false" ht="18" hidden="false" customHeight="true" outlineLevel="0" collapsed="false">
      <c r="A1" s="2" t="s">
        <v>41</v>
      </c>
    </row>
    <row r="2" customFormat="false" ht="15" hidden="false" customHeight="true" outlineLevel="0" collapsed="false">
      <c r="A2" s="3" t="s">
        <v>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10" t="s">
        <v>43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15" hidden="false" customHeight="true" outlineLevel="0" collapsed="false">
      <c r="A5" s="7" t="s">
        <v>44</v>
      </c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54</v>
      </c>
    </row>
    <row r="6" customFormat="false" ht="15" hidden="false" customHeight="true" outlineLevel="0" collapsed="false">
      <c r="A6" s="8" t="s">
        <v>55</v>
      </c>
      <c r="B6" s="11" t="n">
        <v>13</v>
      </c>
      <c r="C6" s="11" t="n">
        <v>6</v>
      </c>
      <c r="D6" s="11" t="n">
        <v>15</v>
      </c>
      <c r="E6" s="11" t="n">
        <v>7</v>
      </c>
      <c r="F6" s="11" t="n">
        <v>6</v>
      </c>
      <c r="G6" s="9" t="s">
        <v>56</v>
      </c>
      <c r="H6" s="9" t="s">
        <v>57</v>
      </c>
      <c r="I6" s="9" t="s">
        <v>45</v>
      </c>
      <c r="J6" s="11" t="n">
        <v>0.25</v>
      </c>
      <c r="K6" s="9" t="s">
        <v>58</v>
      </c>
    </row>
    <row r="7" customFormat="false" ht="15" hidden="false" customHeight="true" outlineLevel="0" collapsed="false">
      <c r="A7" s="8" t="s">
        <v>59</v>
      </c>
      <c r="B7" s="11" t="n">
        <v>9</v>
      </c>
      <c r="C7" s="11" t="n">
        <v>15</v>
      </c>
      <c r="D7" s="11" t="n">
        <v>7</v>
      </c>
      <c r="E7" s="11" t="n">
        <v>5</v>
      </c>
      <c r="F7" s="11" t="n">
        <v>9</v>
      </c>
      <c r="G7" s="9" t="s">
        <v>46</v>
      </c>
      <c r="H7" s="9" t="s">
        <v>60</v>
      </c>
      <c r="I7" s="9" t="s">
        <v>46</v>
      </c>
      <c r="J7" s="11" t="n">
        <v>0.9</v>
      </c>
      <c r="K7" s="9" t="s">
        <v>61</v>
      </c>
    </row>
    <row r="8" customFormat="false" ht="15" hidden="false" customHeight="true" outlineLevel="0" collapsed="false">
      <c r="A8" s="8" t="s">
        <v>62</v>
      </c>
      <c r="B8" s="11" t="n">
        <v>15</v>
      </c>
      <c r="C8" s="11" t="n">
        <v>9</v>
      </c>
      <c r="D8" s="11" t="n">
        <v>8</v>
      </c>
      <c r="E8" s="11" t="n">
        <v>5</v>
      </c>
      <c r="F8" s="11" t="n">
        <v>7</v>
      </c>
      <c r="G8" s="9" t="s">
        <v>45</v>
      </c>
      <c r="H8" s="9" t="s">
        <v>60</v>
      </c>
      <c r="I8" s="9" t="s">
        <v>46</v>
      </c>
      <c r="J8" s="11" t="n">
        <v>0.9</v>
      </c>
      <c r="K8" s="9" t="s">
        <v>63</v>
      </c>
    </row>
    <row r="9" customFormat="false" ht="15" hidden="false" customHeight="true" outlineLevel="0" collapsed="false">
      <c r="A9" s="8" t="s">
        <v>64</v>
      </c>
      <c r="B9" s="11" t="n">
        <v>5</v>
      </c>
      <c r="C9" s="11" t="n">
        <v>7</v>
      </c>
      <c r="D9" s="11" t="n">
        <v>9</v>
      </c>
      <c r="E9" s="11" t="n">
        <v>15</v>
      </c>
      <c r="F9" s="11" t="n">
        <v>12</v>
      </c>
      <c r="G9" s="9" t="s">
        <v>65</v>
      </c>
      <c r="H9" s="9" t="s">
        <v>60</v>
      </c>
      <c r="I9" s="9" t="s">
        <v>46</v>
      </c>
      <c r="J9" s="11" t="n">
        <v>0.15</v>
      </c>
      <c r="K9" s="9" t="s">
        <v>66</v>
      </c>
    </row>
    <row r="10" customFormat="false" ht="15" hidden="false" customHeight="true" outlineLevel="0" collapsed="false">
      <c r="A10" s="8" t="s">
        <v>67</v>
      </c>
      <c r="B10" s="11" t="n">
        <v>8</v>
      </c>
      <c r="C10" s="11" t="n">
        <v>7</v>
      </c>
      <c r="D10" s="11" t="n">
        <v>12</v>
      </c>
      <c r="E10" s="11" t="n">
        <v>13</v>
      </c>
      <c r="F10" s="11" t="n">
        <v>13</v>
      </c>
      <c r="G10" s="9" t="s">
        <v>68</v>
      </c>
      <c r="H10" s="9" t="s">
        <v>57</v>
      </c>
      <c r="I10" s="9" t="s">
        <v>45</v>
      </c>
      <c r="J10" s="11" t="n">
        <v>0.2</v>
      </c>
      <c r="K10" s="9" t="s">
        <v>69</v>
      </c>
    </row>
    <row r="11" customFormat="false" ht="23.25" hidden="false" customHeight="true" outlineLevel="0" collapsed="false">
      <c r="A11" s="8" t="s">
        <v>70</v>
      </c>
      <c r="B11" s="11" t="s">
        <v>71</v>
      </c>
      <c r="C11" s="11" t="s">
        <v>71</v>
      </c>
      <c r="D11" s="11" t="s">
        <v>71</v>
      </c>
      <c r="E11" s="11" t="s">
        <v>71</v>
      </c>
      <c r="F11" s="11" t="s">
        <v>71</v>
      </c>
      <c r="G11" s="9" t="s">
        <v>72</v>
      </c>
      <c r="H11" s="9" t="s">
        <v>73</v>
      </c>
      <c r="I11" s="9" t="s">
        <v>45</v>
      </c>
      <c r="J11" s="11" t="s">
        <v>74</v>
      </c>
      <c r="K11" s="9" t="s">
        <v>75</v>
      </c>
    </row>
    <row r="13" customFormat="false" ht="15" hidden="false" customHeight="true" outlineLevel="0" collapsed="false">
      <c r="A13" s="10" t="s">
        <v>76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customFormat="false" ht="15" hidden="false" customHeight="true" outlineLevel="0" collapsed="false">
      <c r="A14" s="7" t="s">
        <v>44</v>
      </c>
      <c r="B14" s="7" t="s">
        <v>45</v>
      </c>
      <c r="C14" s="7" t="s">
        <v>46</v>
      </c>
      <c r="D14" s="7" t="s">
        <v>47</v>
      </c>
      <c r="E14" s="7" t="s">
        <v>48</v>
      </c>
      <c r="F14" s="7" t="s">
        <v>49</v>
      </c>
    </row>
    <row r="15" customFormat="false" ht="15" hidden="false" customHeight="true" outlineLevel="0" collapsed="false">
      <c r="A15" s="8" t="s">
        <v>55</v>
      </c>
      <c r="B15" s="11" t="n">
        <v>0.5</v>
      </c>
      <c r="C15" s="11" t="n">
        <v>0.15</v>
      </c>
      <c r="D15" s="11" t="n">
        <v>0.55</v>
      </c>
      <c r="E15" s="11" t="n">
        <v>0.2</v>
      </c>
      <c r="F15" s="11" t="n">
        <v>0.15</v>
      </c>
    </row>
    <row r="16" customFormat="false" ht="15" hidden="false" customHeight="true" outlineLevel="0" collapsed="false">
      <c r="A16" s="8" t="s">
        <v>59</v>
      </c>
      <c r="B16" s="11" t="n">
        <v>0.3</v>
      </c>
      <c r="C16" s="11" t="n">
        <v>0.55</v>
      </c>
      <c r="D16" s="11" t="n">
        <v>0.2</v>
      </c>
      <c r="E16" s="11" t="n">
        <v>0.15</v>
      </c>
      <c r="F16" s="11" t="n">
        <v>0.35</v>
      </c>
    </row>
    <row r="17" customFormat="false" ht="15" hidden="false" customHeight="true" outlineLevel="0" collapsed="false">
      <c r="A17" s="8" t="s">
        <v>62</v>
      </c>
      <c r="B17" s="11" t="n">
        <v>0.55</v>
      </c>
      <c r="C17" s="11" t="n">
        <v>0.3</v>
      </c>
      <c r="D17" s="11" t="n">
        <v>0.25</v>
      </c>
      <c r="E17" s="11" t="n">
        <v>0.15</v>
      </c>
      <c r="F17" s="11" t="n">
        <v>0.25</v>
      </c>
    </row>
    <row r="18" customFormat="false" ht="15" hidden="false" customHeight="true" outlineLevel="0" collapsed="false">
      <c r="A18" s="8" t="s">
        <v>64</v>
      </c>
      <c r="B18" s="11" t="n">
        <v>0.15</v>
      </c>
      <c r="C18" s="11" t="n">
        <v>0.2</v>
      </c>
      <c r="D18" s="11" t="n">
        <v>0.3</v>
      </c>
      <c r="E18" s="11" t="n">
        <v>0.55</v>
      </c>
      <c r="F18" s="11" t="n">
        <v>0.45</v>
      </c>
    </row>
    <row r="19" customFormat="false" ht="15" hidden="false" customHeight="true" outlineLevel="0" collapsed="false">
      <c r="A19" s="8" t="s">
        <v>67</v>
      </c>
      <c r="B19" s="11" t="n">
        <v>0.2</v>
      </c>
      <c r="C19" s="11" t="n">
        <v>0.2</v>
      </c>
      <c r="D19" s="11" t="n">
        <v>0.4</v>
      </c>
      <c r="E19" s="11" t="n">
        <v>0.45</v>
      </c>
      <c r="F19" s="11" t="n">
        <v>0.45</v>
      </c>
    </row>
    <row r="21" customFormat="false" ht="15" hidden="false" customHeight="true" outlineLevel="0" collapsed="false">
      <c r="A21" s="6" t="s">
        <v>77</v>
      </c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mergeCells count="4">
    <mergeCell ref="A2:L2"/>
    <mergeCell ref="A4:K4"/>
    <mergeCell ref="A13:K13"/>
    <mergeCell ref="A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22"/>
    <col collapsed="false" customWidth="true" hidden="false" outlineLevel="0" max="5" min="5" style="1" width="40"/>
    <col collapsed="false" customWidth="true" hidden="false" outlineLevel="0" max="6" min="6" style="1" width="10"/>
  </cols>
  <sheetData>
    <row r="1" customFormat="false" ht="18" hidden="false" customHeight="true" outlineLevel="0" collapsed="false">
      <c r="A1" s="2" t="s">
        <v>78</v>
      </c>
    </row>
    <row r="2" customFormat="false" ht="15" hidden="false" customHeight="true" outlineLevel="0" collapsed="false">
      <c r="A2" s="3" t="s">
        <v>79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7" t="s">
        <v>80</v>
      </c>
      <c r="B4" s="7" t="s">
        <v>81</v>
      </c>
      <c r="C4" s="7" t="s">
        <v>82</v>
      </c>
      <c r="D4" s="7" t="s">
        <v>83</v>
      </c>
      <c r="E4" s="7" t="s">
        <v>84</v>
      </c>
    </row>
    <row r="5" customFormat="false" ht="15" hidden="false" customHeight="true" outlineLevel="0" collapsed="false">
      <c r="A5" s="8" t="s">
        <v>85</v>
      </c>
      <c r="B5" s="9" t="s">
        <v>86</v>
      </c>
      <c r="C5" s="9" t="s">
        <v>87</v>
      </c>
      <c r="D5" s="9" t="s">
        <v>88</v>
      </c>
      <c r="E5" s="9" t="s">
        <v>89</v>
      </c>
    </row>
    <row r="6" customFormat="false" ht="15" hidden="false" customHeight="true" outlineLevel="0" collapsed="false">
      <c r="A6" s="8" t="s">
        <v>90</v>
      </c>
      <c r="B6" s="9" t="s">
        <v>91</v>
      </c>
      <c r="C6" s="9" t="s">
        <v>92</v>
      </c>
      <c r="D6" s="9" t="s">
        <v>93</v>
      </c>
      <c r="E6" s="9" t="s">
        <v>94</v>
      </c>
    </row>
    <row r="7" customFormat="false" ht="23.25" hidden="false" customHeight="true" outlineLevel="0" collapsed="false">
      <c r="A7" s="8" t="s">
        <v>95</v>
      </c>
      <c r="B7" s="9" t="s">
        <v>96</v>
      </c>
      <c r="C7" s="9" t="s">
        <v>97</v>
      </c>
      <c r="D7" s="9" t="s">
        <v>98</v>
      </c>
      <c r="E7" s="9" t="s">
        <v>99</v>
      </c>
    </row>
    <row r="9" customFormat="false" ht="15" hidden="false" customHeight="true" outlineLevel="0" collapsed="false">
      <c r="A9" s="6" t="s">
        <v>100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</row>
  </sheetData>
  <mergeCells count="2">
    <mergeCell ref="A2:F2"/>
    <mergeCell ref="A9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8" min="8" style="1" width="30"/>
  </cols>
  <sheetData>
    <row r="1" customFormat="false" ht="18" hidden="false" customHeight="true" outlineLevel="0" collapsed="false">
      <c r="A1" s="2" t="s">
        <v>101</v>
      </c>
    </row>
    <row r="2" customFormat="false" ht="15" hidden="false" customHeight="true" outlineLevel="0" collapsed="false">
      <c r="A2" s="3" t="s">
        <v>102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10" t="s">
        <v>103</v>
      </c>
      <c r="B4" s="10"/>
      <c r="C4" s="10"/>
      <c r="D4" s="10"/>
    </row>
    <row r="5" customFormat="false" ht="15" hidden="false" customHeight="true" outlineLevel="0" collapsed="false">
      <c r="A5" s="7" t="s">
        <v>104</v>
      </c>
      <c r="B5" s="7" t="s">
        <v>105</v>
      </c>
      <c r="C5" s="7" t="s">
        <v>106</v>
      </c>
      <c r="D5" s="7" t="s">
        <v>107</v>
      </c>
    </row>
    <row r="6" customFormat="false" ht="15" hidden="false" customHeight="true" outlineLevel="0" collapsed="false">
      <c r="A6" s="5" t="s">
        <v>108</v>
      </c>
      <c r="B6" s="5" t="s">
        <v>109</v>
      </c>
      <c r="C6" s="12" t="n">
        <v>6</v>
      </c>
      <c r="D6" s="13" t="s">
        <v>110</v>
      </c>
    </row>
    <row r="7" customFormat="false" ht="15" hidden="false" customHeight="true" outlineLevel="0" collapsed="false">
      <c r="A7" s="5" t="s">
        <v>111</v>
      </c>
      <c r="B7" s="5" t="s">
        <v>112</v>
      </c>
      <c r="C7" s="12" t="n">
        <v>6</v>
      </c>
      <c r="D7" s="13" t="s">
        <v>113</v>
      </c>
    </row>
    <row r="8" customFormat="false" ht="15" hidden="false" customHeight="true" outlineLevel="0" collapsed="false">
      <c r="A8" s="5" t="s">
        <v>114</v>
      </c>
      <c r="B8" s="5" t="s">
        <v>115</v>
      </c>
      <c r="C8" s="12" t="n">
        <v>3</v>
      </c>
      <c r="D8" s="13" t="s">
        <v>116</v>
      </c>
    </row>
    <row r="9" customFormat="false" ht="15" hidden="false" customHeight="true" outlineLevel="0" collapsed="false">
      <c r="A9" s="5" t="s">
        <v>117</v>
      </c>
      <c r="B9" s="5" t="s">
        <v>118</v>
      </c>
      <c r="C9" s="12" t="n">
        <v>9</v>
      </c>
      <c r="D9" s="13" t="s">
        <v>119</v>
      </c>
    </row>
    <row r="11" customFormat="false" ht="15" hidden="false" customHeight="true" outlineLevel="0" collapsed="false">
      <c r="A11" s="10" t="s">
        <v>120</v>
      </c>
      <c r="B11" s="10"/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7" t="s">
        <v>121</v>
      </c>
      <c r="B12" s="7" t="s">
        <v>122</v>
      </c>
      <c r="C12" s="7" t="s">
        <v>123</v>
      </c>
      <c r="D12" s="7" t="s">
        <v>124</v>
      </c>
      <c r="E12" s="7" t="s">
        <v>125</v>
      </c>
      <c r="F12" s="7" t="s">
        <v>126</v>
      </c>
      <c r="G12" s="7" t="s">
        <v>127</v>
      </c>
      <c r="H12" s="7" t="s">
        <v>128</v>
      </c>
    </row>
    <row r="13" customFormat="false" ht="15" hidden="false" customHeight="true" outlineLevel="0" collapsed="false">
      <c r="A13" s="14" t="s">
        <v>129</v>
      </c>
      <c r="B13" s="12" t="n">
        <v>6</v>
      </c>
      <c r="C13" s="15" t="str">
        <f aca="false">B13*$C$6&amp;"% DPS suppressed"</f>
        <v>36% DPS suppressed</v>
      </c>
      <c r="D13" s="15" t="s">
        <v>130</v>
      </c>
      <c r="E13" s="12" t="n">
        <v>4</v>
      </c>
      <c r="F13" s="15" t="str">
        <f aca="false">MAX(0,B13*$C$6-E13*$C$9)&amp;"% net"</f>
        <v>0% net</v>
      </c>
      <c r="G13" s="15" t="s">
        <v>131</v>
      </c>
      <c r="H13" s="15" t="s">
        <v>132</v>
      </c>
    </row>
    <row r="14" customFormat="false" ht="15" hidden="false" customHeight="true" outlineLevel="0" collapsed="false">
      <c r="A14" s="14" t="s">
        <v>133</v>
      </c>
      <c r="B14" s="12" t="n">
        <v>6</v>
      </c>
      <c r="C14" s="15" t="str">
        <f aca="false">B14*$C$7&amp;"% spirit drained"</f>
        <v>36% spirit drained</v>
      </c>
      <c r="D14" s="15" t="s">
        <v>134</v>
      </c>
      <c r="E14" s="12" t="n">
        <v>3</v>
      </c>
      <c r="F14" s="15" t="str">
        <f aca="false">ROUND(MAX(0,B14*$C$7*(1-E14*$C$9/100)),0)&amp;"% net"</f>
        <v>26% net</v>
      </c>
      <c r="G14" s="15" t="s">
        <v>135</v>
      </c>
      <c r="H14" s="15" t="s">
        <v>136</v>
      </c>
    </row>
    <row r="15" customFormat="false" ht="15" hidden="false" customHeight="true" outlineLevel="0" collapsed="false">
      <c r="A15" s="14" t="s">
        <v>137</v>
      </c>
      <c r="B15" s="12" t="n">
        <v>5</v>
      </c>
      <c r="C15" s="15" t="str">
        <f aca="false">B15*$C$8&amp;" Morale/s"</f>
        <v>15 Morale/s</v>
      </c>
      <c r="D15" s="15" t="s">
        <v>138</v>
      </c>
      <c r="E15" s="12" t="n">
        <v>4</v>
      </c>
      <c r="F15" s="15" t="str">
        <f aca="false">ROUND(MAX(0,B15*$C$8*(1-E15*$C$9/100)),1)&amp;" Mor/s net"</f>
        <v>9.6 Mor/s net</v>
      </c>
      <c r="G15" s="15" t="s">
        <v>135</v>
      </c>
      <c r="H15" s="15" t="s">
        <v>139</v>
      </c>
    </row>
    <row r="16" customFormat="false" ht="15" hidden="false" customHeight="true" outlineLevel="0" collapsed="false">
      <c r="A16" s="14" t="s">
        <v>140</v>
      </c>
      <c r="B16" s="12" t="n">
        <v>4</v>
      </c>
      <c r="C16" s="15" t="str">
        <f aca="false">B16*$C$8&amp;" Morale/s"</f>
        <v>12 Morale/s</v>
      </c>
      <c r="D16" s="15" t="s">
        <v>141</v>
      </c>
      <c r="E16" s="12" t="n">
        <v>3</v>
      </c>
      <c r="F16" s="15" t="str">
        <f aca="false">ROUND(MAX(0,B16*$C$8*(1-E16*$C$9/100)),1)&amp;" Mor/s net"</f>
        <v>8.8 Mor/s net</v>
      </c>
      <c r="G16" s="15" t="s">
        <v>135</v>
      </c>
      <c r="H16" s="15" t="s">
        <v>142</v>
      </c>
    </row>
    <row r="17" customFormat="false" ht="15" hidden="false" customHeight="true" outlineLevel="0" collapsed="false">
      <c r="A17" s="14" t="s">
        <v>143</v>
      </c>
      <c r="B17" s="12" t="n">
        <v>4</v>
      </c>
      <c r="C17" s="15" t="str">
        <f aca="false">B17*$C$8&amp;" Morale/s"</f>
        <v>12 Morale/s</v>
      </c>
      <c r="D17" s="15" t="s">
        <v>144</v>
      </c>
      <c r="E17" s="12" t="n">
        <v>0</v>
      </c>
      <c r="F17" s="15" t="str">
        <f aca="false">ROUND(MAX(0,B17*$C$8*(1-E17*$C$9/100)),1)&amp;" Mor/s net"</f>
        <v>12 Mor/s net</v>
      </c>
      <c r="G17" s="15" t="s">
        <v>135</v>
      </c>
      <c r="H17" s="15" t="s">
        <v>145</v>
      </c>
    </row>
    <row r="18" customFormat="false" ht="15" hidden="false" customHeight="true" outlineLevel="0" collapsed="false">
      <c r="A18" s="14" t="s">
        <v>146</v>
      </c>
      <c r="B18" s="12" t="n">
        <v>3</v>
      </c>
      <c r="C18" s="15" t="str">
        <f aca="false">B18*$C$8&amp;" Morale/s"</f>
        <v>9 Morale/s</v>
      </c>
      <c r="D18" s="15" t="s">
        <v>147</v>
      </c>
      <c r="E18" s="12" t="n">
        <v>0</v>
      </c>
      <c r="F18" s="15" t="str">
        <f aca="false">ROUND(MAX(0,B18*$C$8*(1-E18*$C$9/100)),1)&amp;" Mor/s net"</f>
        <v>9 Mor/s net</v>
      </c>
      <c r="G18" s="15" t="s">
        <v>135</v>
      </c>
      <c r="H18" s="15" t="s">
        <v>148</v>
      </c>
    </row>
    <row r="20" customFormat="false" ht="15" hidden="false" customHeight="true" outlineLevel="0" collapsed="false">
      <c r="A20" s="6" t="s">
        <v>149</v>
      </c>
      <c r="B20" s="6"/>
      <c r="C20" s="6"/>
      <c r="D20" s="6"/>
      <c r="E20" s="6"/>
      <c r="F20" s="6"/>
      <c r="G20" s="6"/>
      <c r="H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</row>
  </sheetData>
  <mergeCells count="4">
    <mergeCell ref="A2:I2"/>
    <mergeCell ref="A4:D4"/>
    <mergeCell ref="A11:H11"/>
    <mergeCell ref="A20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0"/>
  </cols>
  <sheetData>
    <row r="1" customFormat="false" ht="18" hidden="false" customHeight="true" outlineLevel="0" collapsed="false">
      <c r="A1" s="2" t="s">
        <v>11</v>
      </c>
    </row>
    <row r="2" customFormat="false" ht="15" hidden="false" customHeight="true" outlineLevel="0" collapsed="false">
      <c r="A2" s="3" t="s">
        <v>150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5" t="s">
        <v>151</v>
      </c>
      <c r="D4" s="12" t="n">
        <v>110</v>
      </c>
    </row>
    <row r="6" customFormat="false" ht="23.25" hidden="false" customHeight="true" outlineLevel="0" collapsed="false">
      <c r="A6" s="7" t="s">
        <v>44</v>
      </c>
      <c r="B6" s="7" t="s">
        <v>52</v>
      </c>
      <c r="C6" s="7" t="s">
        <v>152</v>
      </c>
      <c r="D6" s="7" t="s">
        <v>153</v>
      </c>
      <c r="E6" s="7" t="s">
        <v>154</v>
      </c>
      <c r="F6" s="7" t="s">
        <v>84</v>
      </c>
    </row>
    <row r="7" customFormat="false" ht="15" hidden="false" customHeight="true" outlineLevel="0" collapsed="false">
      <c r="A7" s="8" t="s">
        <v>55</v>
      </c>
      <c r="B7" s="9" t="s">
        <v>45</v>
      </c>
      <c r="C7" s="11" t="n">
        <v>0.25</v>
      </c>
      <c r="D7" s="11" t="n">
        <v>19</v>
      </c>
      <c r="E7" s="9" t="n">
        <f aca="false">C7*D7</f>
        <v>4.75</v>
      </c>
      <c r="F7" s="9" t="s">
        <v>155</v>
      </c>
    </row>
    <row r="8" customFormat="false" ht="15" hidden="false" customHeight="true" outlineLevel="0" collapsed="false">
      <c r="A8" s="8" t="s">
        <v>59</v>
      </c>
      <c r="B8" s="9" t="s">
        <v>46</v>
      </c>
      <c r="C8" s="11" t="n">
        <v>0.9</v>
      </c>
      <c r="D8" s="11" t="n">
        <v>21</v>
      </c>
      <c r="E8" s="9" t="n">
        <f aca="false">C8*D8</f>
        <v>18.9</v>
      </c>
      <c r="F8" s="9" t="s">
        <v>156</v>
      </c>
    </row>
    <row r="9" customFormat="false" ht="15" hidden="false" customHeight="true" outlineLevel="0" collapsed="false">
      <c r="A9" s="8" t="s">
        <v>64</v>
      </c>
      <c r="B9" s="9" t="s">
        <v>46</v>
      </c>
      <c r="C9" s="11" t="n">
        <v>0.15</v>
      </c>
      <c r="D9" s="11" t="n">
        <v>12</v>
      </c>
      <c r="E9" s="9" t="n">
        <f aca="false">C9*D9</f>
        <v>1.8</v>
      </c>
      <c r="F9" s="9" t="s">
        <v>155</v>
      </c>
    </row>
    <row r="10" customFormat="false" ht="15" hidden="false" customHeight="true" outlineLevel="0" collapsed="false">
      <c r="A10" s="8" t="s">
        <v>67</v>
      </c>
      <c r="B10" s="9" t="s">
        <v>45</v>
      </c>
      <c r="C10" s="11" t="n">
        <v>0.2</v>
      </c>
      <c r="D10" s="11" t="n">
        <v>16</v>
      </c>
      <c r="E10" s="9" t="n">
        <f aca="false">C10*D10</f>
        <v>3.2</v>
      </c>
      <c r="F10" s="9" t="s">
        <v>155</v>
      </c>
    </row>
    <row r="11" customFormat="false" ht="15" hidden="false" customHeight="true" outlineLevel="0" collapsed="false">
      <c r="A11" s="8" t="s">
        <v>157</v>
      </c>
      <c r="B11" s="9" t="s">
        <v>45</v>
      </c>
      <c r="C11" s="11" t="n">
        <v>0.8</v>
      </c>
      <c r="D11" s="11" t="s">
        <v>71</v>
      </c>
      <c r="E11" s="9" t="s">
        <v>158</v>
      </c>
      <c r="F11" s="9" t="s">
        <v>159</v>
      </c>
    </row>
    <row r="13" customFormat="false" ht="15" hidden="false" customHeight="true" outlineLevel="0" collapsed="false">
      <c r="A13" s="4" t="s">
        <v>160</v>
      </c>
      <c r="E13" s="15" t="n">
        <f aca="false">SUM(E7:E10)</f>
        <v>28.65</v>
      </c>
    </row>
    <row r="14" customFormat="false" ht="15" hidden="false" customHeight="true" outlineLevel="0" collapsed="false">
      <c r="A14" s="4" t="s">
        <v>161</v>
      </c>
      <c r="E14" s="15" t="str">
        <f aca="false">ROUND(0.6*(1-MIN(1,E13/D4))*100,0)&amp;"%"</f>
        <v>44%</v>
      </c>
    </row>
    <row r="16" customFormat="false" ht="15" hidden="false" customHeight="true" outlineLevel="0" collapsed="false">
      <c r="A16" s="6" t="s">
        <v>162</v>
      </c>
      <c r="B16" s="6"/>
      <c r="C16" s="6"/>
      <c r="D16" s="6"/>
      <c r="E16" s="6"/>
      <c r="F16" s="6"/>
      <c r="G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</row>
  </sheetData>
  <mergeCells count="2">
    <mergeCell ref="A2:G2"/>
    <mergeCell ref="A16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5" min="5" style="1" width="44"/>
  </cols>
  <sheetData>
    <row r="1" customFormat="false" ht="18" hidden="false" customHeight="true" outlineLevel="0" collapsed="false">
      <c r="A1" s="2" t="s">
        <v>163</v>
      </c>
    </row>
    <row r="2" customFormat="false" ht="15" hidden="false" customHeight="true" outlineLevel="0" collapsed="false">
      <c r="A2" s="3" t="s">
        <v>164</v>
      </c>
      <c r="B2" s="3"/>
      <c r="C2" s="3"/>
      <c r="D2" s="3"/>
      <c r="E2" s="3"/>
    </row>
    <row r="4" customFormat="false" ht="15" hidden="false" customHeight="true" outlineLevel="0" collapsed="false">
      <c r="A4" s="7" t="s">
        <v>44</v>
      </c>
      <c r="B4" s="7" t="s">
        <v>165</v>
      </c>
      <c r="C4" s="7" t="s">
        <v>166</v>
      </c>
      <c r="D4" s="7" t="s">
        <v>167</v>
      </c>
      <c r="E4" s="7" t="s">
        <v>168</v>
      </c>
    </row>
    <row r="5" customFormat="false" ht="23.25" hidden="false" customHeight="true" outlineLevel="0" collapsed="false">
      <c r="A5" s="8" t="s">
        <v>64</v>
      </c>
      <c r="B5" s="9" t="s">
        <v>169</v>
      </c>
      <c r="C5" s="9" t="s">
        <v>170</v>
      </c>
      <c r="D5" s="9" t="s">
        <v>171</v>
      </c>
      <c r="E5" s="9" t="s">
        <v>172</v>
      </c>
    </row>
    <row r="6" customFormat="false" ht="23.25" hidden="false" customHeight="true" outlineLevel="0" collapsed="false">
      <c r="A6" s="8" t="s">
        <v>55</v>
      </c>
      <c r="B6" s="9" t="s">
        <v>173</v>
      </c>
      <c r="C6" s="9" t="s">
        <v>174</v>
      </c>
      <c r="D6" s="9" t="s">
        <v>175</v>
      </c>
      <c r="E6" s="9" t="s">
        <v>176</v>
      </c>
    </row>
    <row r="7" customFormat="false" ht="23.25" hidden="false" customHeight="true" outlineLevel="0" collapsed="false">
      <c r="A7" s="8" t="s">
        <v>177</v>
      </c>
      <c r="B7" s="9" t="s">
        <v>178</v>
      </c>
      <c r="C7" s="9" t="s">
        <v>179</v>
      </c>
      <c r="D7" s="9" t="s">
        <v>180</v>
      </c>
      <c r="E7" s="9" t="s">
        <v>181</v>
      </c>
    </row>
    <row r="8" customFormat="false" ht="23.25" hidden="false" customHeight="true" outlineLevel="0" collapsed="false">
      <c r="A8" s="8" t="s">
        <v>67</v>
      </c>
      <c r="B8" s="9" t="s">
        <v>182</v>
      </c>
      <c r="C8" s="9" t="s">
        <v>183</v>
      </c>
      <c r="D8" s="9" t="s">
        <v>184</v>
      </c>
      <c r="E8" s="9" t="s">
        <v>185</v>
      </c>
    </row>
    <row r="9" customFormat="false" ht="15" hidden="false" customHeight="true" outlineLevel="0" collapsed="false">
      <c r="A9" s="6" t="s">
        <v>186</v>
      </c>
      <c r="B9" s="6"/>
      <c r="C9" s="6"/>
      <c r="D9" s="6"/>
      <c r="E9" s="6"/>
    </row>
  </sheetData>
  <mergeCells count="2">
    <mergeCell ref="A2:E2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18" hidden="false" customHeight="true" outlineLevel="0" collapsed="false">
      <c r="A1" s="2" t="s">
        <v>187</v>
      </c>
    </row>
    <row r="2" customFormat="false" ht="15" hidden="false" customHeight="true" outlineLevel="0" collapsed="false">
      <c r="A2" s="3" t="s">
        <v>188</v>
      </c>
      <c r="B2" s="3"/>
      <c r="C2" s="3"/>
      <c r="D2" s="3"/>
      <c r="E2" s="3"/>
    </row>
    <row r="4" customFormat="false" ht="15" hidden="false" customHeight="true" outlineLevel="0" collapsed="false">
      <c r="A4" s="16" t="s">
        <v>189</v>
      </c>
      <c r="B4" s="16" t="s">
        <v>44</v>
      </c>
      <c r="C4" s="16" t="s">
        <v>190</v>
      </c>
    </row>
    <row r="5" customFormat="false" ht="34.5" hidden="false" customHeight="true" outlineLevel="0" collapsed="false">
      <c r="A5" s="14" t="s">
        <v>191</v>
      </c>
      <c r="B5" s="9" t="s">
        <v>192</v>
      </c>
      <c r="C5" s="9" t="s">
        <v>193</v>
      </c>
    </row>
    <row r="6" customFormat="false" ht="57" hidden="false" customHeight="true" outlineLevel="0" collapsed="false">
      <c r="A6" s="14" t="s">
        <v>194</v>
      </c>
      <c r="B6" s="9" t="s">
        <v>195</v>
      </c>
      <c r="C6" s="9" t="s">
        <v>196</v>
      </c>
    </row>
    <row r="7" customFormat="false" ht="23.25" hidden="false" customHeight="true" outlineLevel="0" collapsed="false">
      <c r="A7" s="14" t="s">
        <v>197</v>
      </c>
      <c r="B7" s="9" t="s">
        <v>198</v>
      </c>
      <c r="C7" s="9" t="s">
        <v>199</v>
      </c>
    </row>
    <row r="8" customFormat="false" ht="45.75" hidden="false" customHeight="true" outlineLevel="0" collapsed="false">
      <c r="A8" s="14" t="s">
        <v>200</v>
      </c>
      <c r="B8" s="9" t="s">
        <v>201</v>
      </c>
      <c r="C8" s="9" t="s">
        <v>202</v>
      </c>
    </row>
    <row r="9" customFormat="false" ht="34.5" hidden="false" customHeight="true" outlineLevel="0" collapsed="false">
      <c r="A9" s="14" t="s">
        <v>203</v>
      </c>
      <c r="B9" s="9" t="s">
        <v>204</v>
      </c>
      <c r="C9" s="9" t="s">
        <v>205</v>
      </c>
    </row>
    <row r="11" customFormat="false" ht="15" hidden="false" customHeight="true" outlineLevel="0" collapsed="false">
      <c r="A11" s="4" t="s">
        <v>206</v>
      </c>
    </row>
    <row r="12" customFormat="false" ht="15" hidden="false" customHeight="true" outlineLevel="0" collapsed="false">
      <c r="A12" s="5" t="s">
        <v>207</v>
      </c>
      <c r="B12" s="5" t="s">
        <v>208</v>
      </c>
      <c r="C12" s="12" t="n">
        <v>5</v>
      </c>
    </row>
    <row r="13" customFormat="false" ht="15" hidden="false" customHeight="true" outlineLevel="0" collapsed="false">
      <c r="A13" s="5" t="s">
        <v>209</v>
      </c>
      <c r="B13" s="5" t="s">
        <v>210</v>
      </c>
      <c r="C13" s="12" t="s">
        <v>211</v>
      </c>
    </row>
    <row r="14" customFormat="false" ht="15" hidden="false" customHeight="true" outlineLevel="0" collapsed="false">
      <c r="A14" s="5" t="s">
        <v>212</v>
      </c>
      <c r="B14" s="5" t="s">
        <v>213</v>
      </c>
      <c r="C14" s="17" t="s">
        <v>214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2026-06-18T10:10:17Z</dcterms:created>
  <dc:creator>openpyxl</dc:creator>
  <dc:description/>
  <dc:language>en-US</dc:language>
  <cp:lastModifiedBy/>
  <dcterms:modified xsi:type="dcterms:W3CDTF">2026-06-18T10:45:46Z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